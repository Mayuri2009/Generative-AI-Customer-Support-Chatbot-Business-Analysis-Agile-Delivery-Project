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  <sheet xmlns:r="http://schemas.openxmlformats.org/officeDocument/2006/relationships" name="Sample Defects" sheetId="2" state="visible" r:id="rId2"/>
    <sheet xmlns:r="http://schemas.openxmlformats.org/officeDocument/2006/relationships" name="Defect Summary" sheetId="3" state="visible" r:id="rId3"/>
    <sheet xmlns:r="http://schemas.openxmlformats.org/officeDocument/2006/relationships" name="Defect Lifecycle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'Defect Log'!$A$1:$S$21</definedName>
    <definedName name="_xlnm._FilterDatabase" localSheetId="1" hidden="1">'Sample Defects'!$A$1:$S$6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42" customWidth="1" min="6" max="6"/>
    <col width="12" customWidth="1" min="7" max="7"/>
    <col width="12" customWidth="1" min="8" max="8"/>
    <col width="38" customWidth="1" min="9" max="9"/>
    <col width="38" customWidth="1" min="10" max="10"/>
    <col width="20" customWidth="1" min="11" max="11"/>
    <col width="15" customWidth="1" min="12" max="12"/>
    <col width="18" customWidth="1" min="13" max="13"/>
    <col width="16" customWidth="1" min="14" max="14"/>
    <col width="32" customWidth="1" min="15" max="15"/>
    <col width="38" customWidth="1" min="16" max="16"/>
    <col width="16" customWidth="1" min="17" max="17"/>
    <col width="15" customWidth="1" min="18" max="18"/>
    <col width="38" customWidth="1" min="19" max="19"/>
  </cols>
  <sheetData>
    <row r="1" ht="32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Requirement ID</t>
        </is>
      </c>
      <c r="D1" s="1" t="inlineStr">
        <is>
          <t>User Story ID</t>
        </is>
      </c>
      <c r="E1" s="1" t="inlineStr">
        <is>
          <t>Defect Summary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Environment</t>
        </is>
      </c>
      <c r="L1" s="1" t="inlineStr">
        <is>
          <t>Reported Date</t>
        </is>
      </c>
      <c r="M1" s="1" t="inlineStr">
        <is>
          <t>Assigned To</t>
        </is>
      </c>
      <c r="N1" s="1" t="inlineStr">
        <is>
          <t>Status</t>
        </is>
      </c>
      <c r="O1" s="1" t="inlineStr">
        <is>
          <t>Root Cause</t>
        </is>
      </c>
      <c r="P1" s="1" t="inlineStr">
        <is>
          <t>Resolution</t>
        </is>
      </c>
      <c r="Q1" s="1" t="inlineStr">
        <is>
          <t>Retest Result</t>
        </is>
      </c>
      <c r="R1" s="1" t="inlineStr">
        <is>
          <t>Closed Date</t>
        </is>
      </c>
      <c r="S1" s="1" t="inlineStr">
        <is>
          <t>Comments</t>
        </is>
      </c>
    </row>
    <row r="2" ht="52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3" t="inlineStr"/>
      <c r="M2" s="2" t="inlineStr"/>
      <c r="N2" s="2" t="inlineStr"/>
      <c r="O2" s="2" t="inlineStr"/>
      <c r="P2" s="2" t="inlineStr"/>
      <c r="Q2" s="2" t="inlineStr"/>
      <c r="R2" s="3" t="inlineStr"/>
      <c r="S2" s="2" t="inlineStr"/>
    </row>
    <row r="3" ht="52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3" t="inlineStr"/>
      <c r="M3" s="2" t="inlineStr"/>
      <c r="N3" s="2" t="inlineStr"/>
      <c r="O3" s="2" t="inlineStr"/>
      <c r="P3" s="2" t="inlineStr"/>
      <c r="Q3" s="2" t="inlineStr"/>
      <c r="R3" s="3" t="inlineStr"/>
      <c r="S3" s="2" t="inlineStr"/>
    </row>
    <row r="4" ht="52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/>
      <c r="M4" s="2" t="inlineStr"/>
      <c r="N4" s="2" t="inlineStr"/>
      <c r="O4" s="2" t="inlineStr"/>
      <c r="P4" s="2" t="inlineStr"/>
      <c r="Q4" s="2" t="inlineStr"/>
      <c r="R4" s="3" t="inlineStr"/>
      <c r="S4" s="2" t="inlineStr"/>
    </row>
    <row r="5" ht="52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/>
      <c r="M5" s="2" t="inlineStr"/>
      <c r="N5" s="2" t="inlineStr"/>
      <c r="O5" s="2" t="inlineStr"/>
      <c r="P5" s="2" t="inlineStr"/>
      <c r="Q5" s="2" t="inlineStr"/>
      <c r="R5" s="3" t="inlineStr"/>
      <c r="S5" s="2" t="inlineStr"/>
    </row>
    <row r="6" ht="52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3" t="inlineStr"/>
      <c r="M6" s="2" t="inlineStr"/>
      <c r="N6" s="2" t="inlineStr"/>
      <c r="O6" s="2" t="inlineStr"/>
      <c r="P6" s="2" t="inlineStr"/>
      <c r="Q6" s="2" t="inlineStr"/>
      <c r="R6" s="3" t="inlineStr"/>
      <c r="S6" s="2" t="inlineStr"/>
    </row>
    <row r="7" ht="52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3" t="inlineStr"/>
      <c r="M7" s="2" t="inlineStr"/>
      <c r="N7" s="2" t="inlineStr"/>
      <c r="O7" s="2" t="inlineStr"/>
      <c r="P7" s="2" t="inlineStr"/>
      <c r="Q7" s="2" t="inlineStr"/>
      <c r="R7" s="3" t="inlineStr"/>
      <c r="S7" s="2" t="inlineStr"/>
    </row>
    <row r="8" ht="52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3" t="inlineStr"/>
      <c r="M8" s="2" t="inlineStr"/>
      <c r="N8" s="2" t="inlineStr"/>
      <c r="O8" s="2" t="inlineStr"/>
      <c r="P8" s="2" t="inlineStr"/>
      <c r="Q8" s="2" t="inlineStr"/>
      <c r="R8" s="3" t="inlineStr"/>
      <c r="S8" s="2" t="inlineStr"/>
    </row>
    <row r="9" ht="52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3" t="inlineStr"/>
      <c r="M9" s="2" t="inlineStr"/>
      <c r="N9" s="2" t="inlineStr"/>
      <c r="O9" s="2" t="inlineStr"/>
      <c r="P9" s="2" t="inlineStr"/>
      <c r="Q9" s="2" t="inlineStr"/>
      <c r="R9" s="3" t="inlineStr"/>
      <c r="S9" s="2" t="inlineStr"/>
    </row>
    <row r="10" ht="52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3" t="inlineStr"/>
      <c r="M10" s="2" t="inlineStr"/>
      <c r="N10" s="2" t="inlineStr"/>
      <c r="O10" s="2" t="inlineStr"/>
      <c r="P10" s="2" t="inlineStr"/>
      <c r="Q10" s="2" t="inlineStr"/>
      <c r="R10" s="3" t="inlineStr"/>
      <c r="S10" s="2" t="inlineStr"/>
    </row>
    <row r="11" ht="52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3" t="inlineStr"/>
      <c r="M11" s="2" t="inlineStr"/>
      <c r="N11" s="2" t="inlineStr"/>
      <c r="O11" s="2" t="inlineStr"/>
      <c r="P11" s="2" t="inlineStr"/>
      <c r="Q11" s="2" t="inlineStr"/>
      <c r="R11" s="3" t="inlineStr"/>
      <c r="S11" s="2" t="inlineStr"/>
    </row>
    <row r="12" ht="52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3" t="inlineStr"/>
      <c r="M12" s="2" t="inlineStr"/>
      <c r="N12" s="2" t="inlineStr"/>
      <c r="O12" s="2" t="inlineStr"/>
      <c r="P12" s="2" t="inlineStr"/>
      <c r="Q12" s="2" t="inlineStr"/>
      <c r="R12" s="3" t="inlineStr"/>
      <c r="S12" s="2" t="inlineStr"/>
    </row>
    <row r="13" ht="52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3" t="inlineStr"/>
      <c r="M13" s="2" t="inlineStr"/>
      <c r="N13" s="2" t="inlineStr"/>
      <c r="O13" s="2" t="inlineStr"/>
      <c r="P13" s="2" t="inlineStr"/>
      <c r="Q13" s="2" t="inlineStr"/>
      <c r="R13" s="3" t="inlineStr"/>
      <c r="S13" s="2" t="inlineStr"/>
    </row>
    <row r="14" ht="52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3" t="inlineStr"/>
      <c r="M14" s="2" t="inlineStr"/>
      <c r="N14" s="2" t="inlineStr"/>
      <c r="O14" s="2" t="inlineStr"/>
      <c r="P14" s="2" t="inlineStr"/>
      <c r="Q14" s="2" t="inlineStr"/>
      <c r="R14" s="3" t="inlineStr"/>
      <c r="S14" s="2" t="inlineStr"/>
    </row>
    <row r="15" ht="52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3" t="inlineStr"/>
      <c r="M15" s="2" t="inlineStr"/>
      <c r="N15" s="2" t="inlineStr"/>
      <c r="O15" s="2" t="inlineStr"/>
      <c r="P15" s="2" t="inlineStr"/>
      <c r="Q15" s="2" t="inlineStr"/>
      <c r="R15" s="3" t="inlineStr"/>
      <c r="S15" s="2" t="inlineStr"/>
    </row>
    <row r="16" ht="52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3" t="inlineStr"/>
      <c r="M16" s="2" t="inlineStr"/>
      <c r="N16" s="2" t="inlineStr"/>
      <c r="O16" s="2" t="inlineStr"/>
      <c r="P16" s="2" t="inlineStr"/>
      <c r="Q16" s="2" t="inlineStr"/>
      <c r="R16" s="3" t="inlineStr"/>
      <c r="S16" s="2" t="inlineStr"/>
    </row>
    <row r="17" ht="52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3" t="inlineStr"/>
      <c r="M17" s="2" t="inlineStr"/>
      <c r="N17" s="2" t="inlineStr"/>
      <c r="O17" s="2" t="inlineStr"/>
      <c r="P17" s="2" t="inlineStr"/>
      <c r="Q17" s="2" t="inlineStr"/>
      <c r="R17" s="3" t="inlineStr"/>
      <c r="S17" s="2" t="inlineStr"/>
    </row>
    <row r="18" ht="52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3" t="inlineStr"/>
      <c r="M18" s="2" t="inlineStr"/>
      <c r="N18" s="2" t="inlineStr"/>
      <c r="O18" s="2" t="inlineStr"/>
      <c r="P18" s="2" t="inlineStr"/>
      <c r="Q18" s="2" t="inlineStr"/>
      <c r="R18" s="3" t="inlineStr"/>
      <c r="S18" s="2" t="inlineStr"/>
    </row>
    <row r="19" ht="52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3" t="inlineStr"/>
      <c r="M19" s="2" t="inlineStr"/>
      <c r="N19" s="2" t="inlineStr"/>
      <c r="O19" s="2" t="inlineStr"/>
      <c r="P19" s="2" t="inlineStr"/>
      <c r="Q19" s="2" t="inlineStr"/>
      <c r="R19" s="3" t="inlineStr"/>
      <c r="S19" s="2" t="inlineStr"/>
    </row>
    <row r="20" ht="52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3" t="inlineStr"/>
      <c r="M20" s="2" t="inlineStr"/>
      <c r="N20" s="2" t="inlineStr"/>
      <c r="O20" s="2" t="inlineStr"/>
      <c r="P20" s="2" t="inlineStr"/>
      <c r="Q20" s="2" t="inlineStr"/>
      <c r="R20" s="3" t="inlineStr"/>
      <c r="S20" s="2" t="inlineStr"/>
    </row>
    <row r="21" ht="52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3" t="inlineStr"/>
      <c r="M21" s="2" t="inlineStr"/>
      <c r="N21" s="2" t="inlineStr"/>
      <c r="O21" s="2" t="inlineStr"/>
      <c r="P21" s="2" t="inlineStr"/>
      <c r="Q21" s="2" t="inlineStr"/>
      <c r="R21" s="3" t="inlineStr"/>
      <c r="S21" s="2" t="inlineStr"/>
    </row>
  </sheetData>
  <autoFilter ref="A1:S21"/>
  <conditionalFormatting sqref="G2:G500">
    <cfRule type="expression" priority="1" dxfId="0">
      <formula>G2="Critical"</formula>
    </cfRule>
  </conditionalFormatting>
  <conditionalFormatting sqref="N2:N500">
    <cfRule type="expression" priority="2" dxfId="1">
      <formula>N2="Closed"</formula>
    </cfRule>
    <cfRule type="expression" priority="3" dxfId="2">
      <formula>N2="Reopened"</formula>
    </cfRule>
  </conditionalFormatting>
  <dataValidations count="4">
    <dataValidation sqref="G2:G500" showDropDown="0" showInputMessage="0" showErrorMessage="0" allowBlank="1" type="list">
      <formula1>"Critical,High,Medium,Low"</formula1>
    </dataValidation>
    <dataValidation sqref="H2:H500" showDropDown="0" showInputMessage="0" showErrorMessage="0" allowBlank="1" type="list">
      <formula1>"Critical,High,Medium,Low"</formula1>
    </dataValidation>
    <dataValidation sqref="N2:N500" showDropDown="0" showInputMessage="0" showErrorMessage="0" allowBlank="1" type="list">
      <formula1>"New,Assigned,In Progress,Fixed,Retest,Closed,Reopened"</formula1>
    </dataValidation>
    <dataValidation sqref="Q2:Q500" showDropDown="0" showInputMessage="0" showErrorMessage="0" allowBlank="1" type="list">
      <formula1>"Not Retested,Pass,Fail"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42" customWidth="1" min="6" max="6"/>
    <col width="12" customWidth="1" min="7" max="7"/>
    <col width="12" customWidth="1" min="8" max="8"/>
    <col width="38" customWidth="1" min="9" max="9"/>
    <col width="38" customWidth="1" min="10" max="10"/>
    <col width="20" customWidth="1" min="11" max="11"/>
    <col width="15" customWidth="1" min="12" max="12"/>
    <col width="18" customWidth="1" min="13" max="13"/>
    <col width="16" customWidth="1" min="14" max="14"/>
    <col width="32" customWidth="1" min="15" max="15"/>
    <col width="38" customWidth="1" min="16" max="16"/>
    <col width="16" customWidth="1" min="17" max="17"/>
    <col width="15" customWidth="1" min="18" max="18"/>
    <col width="38" customWidth="1" min="19" max="19"/>
  </cols>
  <sheetData>
    <row r="1" ht="32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Requirement ID</t>
        </is>
      </c>
      <c r="D1" s="1" t="inlineStr">
        <is>
          <t>User Story ID</t>
        </is>
      </c>
      <c r="E1" s="1" t="inlineStr">
        <is>
          <t>Defect Summary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Environment</t>
        </is>
      </c>
      <c r="L1" s="1" t="inlineStr">
        <is>
          <t>Reported Date</t>
        </is>
      </c>
      <c r="M1" s="1" t="inlineStr">
        <is>
          <t>Assigned To</t>
        </is>
      </c>
      <c r="N1" s="1" t="inlineStr">
        <is>
          <t>Status</t>
        </is>
      </c>
      <c r="O1" s="1" t="inlineStr">
        <is>
          <t>Root Cause</t>
        </is>
      </c>
      <c r="P1" s="1" t="inlineStr">
        <is>
          <t>Resolution</t>
        </is>
      </c>
      <c r="Q1" s="1" t="inlineStr">
        <is>
          <t>Retest Result</t>
        </is>
      </c>
      <c r="R1" s="1" t="inlineStr">
        <is>
          <t>Closed Date</t>
        </is>
      </c>
      <c r="S1" s="1" t="inlineStr">
        <is>
          <t>Comments</t>
        </is>
      </c>
    </row>
    <row r="2" ht="52" customHeight="1">
      <c r="A2" s="2" t="inlineStr">
        <is>
          <t>DEF-EX-001</t>
        </is>
      </c>
      <c r="B2" s="2" t="inlineStr">
        <is>
          <t>UAT-004</t>
        </is>
      </c>
      <c r="C2" s="2" t="inlineStr">
        <is>
          <t>FR-003</t>
        </is>
      </c>
      <c r="D2" s="2" t="inlineStr">
        <is>
          <t>US-004</t>
        </is>
      </c>
      <c r="E2" s="2" t="inlineStr">
        <is>
          <t>Order status response returns stale status</t>
        </is>
      </c>
      <c r="F2" s="2" t="inlineStr">
        <is>
          <t>For a valid order, the chatbot displayed an outdated order status instead of the latest value returned by the order system.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Chatbot displays the current authorized order status.</t>
        </is>
      </c>
      <c r="J2" s="2" t="inlineStr">
        <is>
          <t>Chatbot displayed a previous status value.</t>
        </is>
      </c>
      <c r="K2" s="2" t="inlineStr">
        <is>
          <t>UAT / Mock Order API</t>
        </is>
      </c>
      <c r="L2" s="3" t="n">
        <v>46211</v>
      </c>
      <c r="M2" s="2" t="inlineStr">
        <is>
          <t>Engineering</t>
        </is>
      </c>
      <c r="N2" s="2" t="inlineStr">
        <is>
          <t>Fixed</t>
        </is>
      </c>
      <c r="O2" s="2" t="inlineStr">
        <is>
          <t>Mock API response mapping did not refresh the status field.</t>
        </is>
      </c>
      <c r="P2" s="2" t="inlineStr">
        <is>
          <t>Updated response mapping and added refresh validation.</t>
        </is>
      </c>
      <c r="Q2" s="2" t="inlineStr">
        <is>
          <t>Pass</t>
        </is>
      </c>
      <c r="R2" s="3" t="n">
        <v>46213</v>
      </c>
      <c r="S2" s="2" t="inlineStr">
        <is>
          <t>Simulated portfolio example; not a real production defect.</t>
        </is>
      </c>
    </row>
    <row r="3" ht="52" customHeight="1">
      <c r="A3" s="2" t="inlineStr">
        <is>
          <t>DEF-EX-002</t>
        </is>
      </c>
      <c r="B3" s="2" t="inlineStr">
        <is>
          <t>UAT-011</t>
        </is>
      </c>
      <c r="C3" s="2" t="inlineStr">
        <is>
          <t>NFR-002</t>
        </is>
      </c>
      <c r="D3" s="2" t="inlineStr">
        <is>
          <t>US-009</t>
        </is>
      </c>
      <c r="E3" s="2" t="inlineStr">
        <is>
          <t>Failed authentication exposes protected field</t>
        </is>
      </c>
      <c r="F3" s="2" t="inlineStr">
        <is>
          <t>A failed authentication scenario returned a protected account field in the chatbot response.</t>
        </is>
      </c>
      <c r="G3" s="2" t="inlineStr">
        <is>
          <t>Critical</t>
        </is>
      </c>
      <c r="H3" s="2" t="inlineStr">
        <is>
          <t>Critical</t>
        </is>
      </c>
      <c r="I3" s="2" t="inlineStr">
        <is>
          <t>Protected information is not displayed when authentication fails.</t>
        </is>
      </c>
      <c r="J3" s="2" t="inlineStr">
        <is>
          <t>Protected field was visible after failed authentication.</t>
        </is>
      </c>
      <c r="K3" s="2" t="inlineStr">
        <is>
          <t>UAT / Test Account</t>
        </is>
      </c>
      <c r="L3" s="3" t="n">
        <v>46212</v>
      </c>
      <c r="M3" s="2" t="inlineStr">
        <is>
          <t>Engineering</t>
        </is>
      </c>
      <c r="N3" s="2" t="inlineStr">
        <is>
          <t>Closed</t>
        </is>
      </c>
      <c r="O3" s="2" t="inlineStr">
        <is>
          <t>Authorization check was applied after response construction.</t>
        </is>
      </c>
      <c r="P3" s="2" t="inlineStr">
        <is>
          <t>Moved authorization validation before protected-field retrieval.</t>
        </is>
      </c>
      <c r="Q3" s="2" t="inlineStr">
        <is>
          <t>Pass</t>
        </is>
      </c>
      <c r="R3" s="3" t="n">
        <v>46214</v>
      </c>
      <c r="S3" s="2" t="inlineStr">
        <is>
          <t>Simulated portfolio example; illustrates a security-critical UAT finding.</t>
        </is>
      </c>
    </row>
    <row r="4" ht="52" customHeight="1">
      <c r="A4" s="2" t="inlineStr">
        <is>
          <t>DEF-EX-003</t>
        </is>
      </c>
      <c r="B4" s="2" t="inlineStr">
        <is>
          <t>UAT-014</t>
        </is>
      </c>
      <c r="C4" s="2" t="inlineStr">
        <is>
          <t>FR-005</t>
        </is>
      </c>
      <c r="D4" s="2" t="inlineStr">
        <is>
          <t>US-012</t>
        </is>
      </c>
      <c r="E4" s="2" t="inlineStr">
        <is>
          <t>Complex complaint is not escalated</t>
        </is>
      </c>
      <c r="F4" s="2" t="inlineStr">
        <is>
          <t>A complaint classified as complex remained in the chatbot flow instead of being routed to a human agent.</t>
        </is>
      </c>
      <c r="G4" s="2" t="inlineStr">
        <is>
          <t>Critical</t>
        </is>
      </c>
      <c r="H4" s="2" t="inlineStr">
        <is>
          <t>High</t>
        </is>
      </c>
      <c r="I4" s="2" t="inlineStr">
        <is>
          <t>Complex complaints are escalated to a human agent.</t>
        </is>
      </c>
      <c r="J4" s="2" t="inlineStr">
        <is>
          <t>Chatbot continued self-service flow.</t>
        </is>
      </c>
      <c r="K4" s="2" t="inlineStr">
        <is>
          <t>UAT / Conversation Test</t>
        </is>
      </c>
      <c r="L4" s="3" t="n">
        <v>46213</v>
      </c>
      <c r="M4" s="2" t="inlineStr">
        <is>
          <t>AI/ML Team</t>
        </is>
      </c>
      <c r="N4" s="2" t="inlineStr">
        <is>
          <t>Retest</t>
        </is>
      </c>
      <c r="O4" s="2" t="inlineStr">
        <is>
          <t>Escalation rule did not include one complex-complaint intent variant.</t>
        </is>
      </c>
      <c r="P4" s="2" t="inlineStr">
        <is>
          <t>Expanded escalation rule and added regression scenario.</t>
        </is>
      </c>
      <c r="Q4" s="2" t="inlineStr">
        <is>
          <t>Not Retested</t>
        </is>
      </c>
      <c r="R4" s="3" t="inlineStr"/>
      <c r="S4" s="2" t="inlineStr">
        <is>
          <t>Simulated portfolio example.</t>
        </is>
      </c>
    </row>
    <row r="5" ht="52" customHeight="1">
      <c r="A5" s="2" t="inlineStr">
        <is>
          <t>DEF-EX-004</t>
        </is>
      </c>
      <c r="B5" s="2" t="inlineStr">
        <is>
          <t>UAT-017</t>
        </is>
      </c>
      <c r="C5" s="2" t="inlineStr">
        <is>
          <t>BR-003</t>
        </is>
      </c>
      <c r="D5" s="2" t="inlineStr">
        <is>
          <t>US-015</t>
        </is>
      </c>
      <c r="E5" s="2" t="inlineStr">
        <is>
          <t>Unsupported policy statement generated</t>
        </is>
      </c>
      <c r="F5" s="2" t="inlineStr">
        <is>
          <t>The chatbot produced a policy statement that was not present in the approved knowledge base.</t>
        </is>
      </c>
      <c r="G5" s="2" t="inlineStr">
        <is>
          <t>Critical</t>
        </is>
      </c>
      <c r="H5" s="2" t="inlineStr">
        <is>
          <t>High</t>
        </is>
      </c>
      <c r="I5" s="2" t="inlineStr">
        <is>
          <t>Unsupported policy information is not generated; the chatbot uses approved knowledge or escalates.</t>
        </is>
      </c>
      <c r="J5" s="2" t="inlineStr">
        <is>
          <t>An unsupported policy statement was generated.</t>
        </is>
      </c>
      <c r="K5" s="2" t="inlineStr">
        <is>
          <t>UAT / Knowledge Base</t>
        </is>
      </c>
      <c r="L5" s="3" t="n">
        <v>46213</v>
      </c>
      <c r="M5" s="2" t="inlineStr">
        <is>
          <t>AI/ML Team</t>
        </is>
      </c>
      <c r="N5" s="2" t="inlineStr">
        <is>
          <t>Fixed</t>
        </is>
      </c>
      <c r="O5" s="2" t="inlineStr">
        <is>
          <t>Fallback generation path was not sufficiently constrained to approved content.</t>
        </is>
      </c>
      <c r="P5" s="2" t="inlineStr">
        <is>
          <t>Added knowledge-grounding validation and fallback-to-escalation behavior.</t>
        </is>
      </c>
      <c r="Q5" s="2" t="inlineStr">
        <is>
          <t>Pass</t>
        </is>
      </c>
      <c r="R5" s="3" t="n">
        <v>46215</v>
      </c>
      <c r="S5" s="2" t="inlineStr">
        <is>
          <t>Simulated portfolio example.</t>
        </is>
      </c>
    </row>
    <row r="6" ht="52" customHeight="1">
      <c r="A6" s="2" t="inlineStr">
        <is>
          <t>DEF-EX-005</t>
        </is>
      </c>
      <c r="B6" s="2" t="inlineStr">
        <is>
          <t>UAT-021</t>
        </is>
      </c>
      <c r="C6" s="2" t="inlineStr">
        <is>
          <t>FR-008</t>
        </is>
      </c>
      <c r="D6" s="2" t="inlineStr">
        <is>
          <t>US-018</t>
        </is>
      </c>
      <c r="E6" s="2" t="inlineStr">
        <is>
          <t>Escalation reason missing from analytics</t>
        </is>
      </c>
      <c r="F6" s="2" t="inlineStr">
        <is>
          <t>The interaction record captured escalation but did not capture the reason for escalation.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Analytics capture escalation status and reason.</t>
        </is>
      </c>
      <c r="J6" s="2" t="inlineStr">
        <is>
          <t>Escalation reason field was blank.</t>
        </is>
      </c>
      <c r="K6" s="2" t="inlineStr">
        <is>
          <t>UAT / Analytics</t>
        </is>
      </c>
      <c r="L6" s="3" t="n">
        <v>46214</v>
      </c>
      <c r="M6" s="2" t="inlineStr">
        <is>
          <t>Data/BI</t>
        </is>
      </c>
      <c r="N6" s="2" t="inlineStr">
        <is>
          <t>Closed</t>
        </is>
      </c>
      <c r="O6" s="2" t="inlineStr">
        <is>
          <t>Escalation event schema omitted the reason attribute.</t>
        </is>
      </c>
      <c r="P6" s="2" t="inlineStr">
        <is>
          <t>Added escalation_reason field and updated validation.</t>
        </is>
      </c>
      <c r="Q6" s="2" t="inlineStr">
        <is>
          <t>Pass</t>
        </is>
      </c>
      <c r="R6" s="3" t="n">
        <v>46216</v>
      </c>
      <c r="S6" s="2" t="inlineStr">
        <is>
          <t>Simulated portfolio example.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4" customWidth="1" min="4" max="4"/>
    <col width="18" customWidth="1" min="5" max="5"/>
  </cols>
  <sheetData>
    <row r="1">
      <c r="A1" s="4" t="inlineStr">
        <is>
          <t>Defect Management 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Purpose</t>
        </is>
      </c>
      <c r="B3" s="2" t="inlineStr">
        <is>
          <t>Execution-ready summary for UAT defect tracking. Counts are driven from the Defect Log sheet.</t>
        </is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5" t="inlineStr">
        <is>
          <t>Severity</t>
        </is>
      </c>
      <c r="B5" s="5" t="inlineStr">
        <is>
          <t>Count</t>
        </is>
      </c>
      <c r="C5" s="5" t="n"/>
      <c r="D5" s="5" t="inlineStr">
        <is>
          <t>Status</t>
        </is>
      </c>
      <c r="E5" s="5" t="inlineStr">
        <is>
          <t>Count</t>
        </is>
      </c>
    </row>
    <row r="6">
      <c r="A6" s="2" t="inlineStr">
        <is>
          <t>Critical</t>
        </is>
      </c>
      <c r="B6" s="2">
        <f>COUNTIF('Defect Log'!G:G,A6)</f>
        <v/>
      </c>
      <c r="C6" s="2" t="n"/>
      <c r="D6" s="2" t="inlineStr">
        <is>
          <t>New</t>
        </is>
      </c>
      <c r="E6" s="2">
        <f>COUNTIF('Defect Log'!N:N,D6)</f>
        <v/>
      </c>
    </row>
    <row r="7">
      <c r="A7" s="2" t="inlineStr">
        <is>
          <t>High</t>
        </is>
      </c>
      <c r="B7" s="2">
        <f>COUNTIF('Defect Log'!G:G,A7)</f>
        <v/>
      </c>
      <c r="C7" s="2" t="n"/>
      <c r="D7" s="2" t="inlineStr">
        <is>
          <t>Assigned</t>
        </is>
      </c>
      <c r="E7" s="2">
        <f>COUNTIF('Defect Log'!N:N,D7)</f>
        <v/>
      </c>
    </row>
    <row r="8">
      <c r="A8" s="2" t="inlineStr">
        <is>
          <t>Medium</t>
        </is>
      </c>
      <c r="B8" s="2">
        <f>COUNTIF('Defect Log'!G:G,A8)</f>
        <v/>
      </c>
      <c r="C8" s="2" t="n"/>
      <c r="D8" s="2" t="inlineStr">
        <is>
          <t>In Progress</t>
        </is>
      </c>
      <c r="E8" s="2">
        <f>COUNTIF('Defect Log'!N:N,D8)</f>
        <v/>
      </c>
    </row>
    <row r="9">
      <c r="A9" s="2" t="inlineStr">
        <is>
          <t>Low</t>
        </is>
      </c>
      <c r="B9" s="2">
        <f>COUNTIF('Defect Log'!G:G,A9)</f>
        <v/>
      </c>
      <c r="C9" s="2" t="n"/>
      <c r="D9" s="2" t="inlineStr">
        <is>
          <t>Fixed</t>
        </is>
      </c>
      <c r="E9" s="2">
        <f>COUNTIF('Defect Log'!N:N,D9)</f>
        <v/>
      </c>
    </row>
    <row r="10">
      <c r="A10" s="2" t="n"/>
      <c r="B10" s="2" t="n"/>
      <c r="C10" s="2" t="n"/>
      <c r="D10" s="2" t="inlineStr">
        <is>
          <t>Retest</t>
        </is>
      </c>
      <c r="E10" s="2">
        <f>COUNTIF('Defect Log'!N:N,D10)</f>
        <v/>
      </c>
    </row>
    <row r="11">
      <c r="A11" s="2" t="n"/>
      <c r="B11" s="2" t="n"/>
      <c r="C11" s="2" t="n"/>
      <c r="D11" s="2" t="inlineStr">
        <is>
          <t>Closed</t>
        </is>
      </c>
      <c r="E11" s="2">
        <f>COUNTIF('Defect Log'!N:N,D11)</f>
        <v/>
      </c>
    </row>
    <row r="12">
      <c r="A12" s="6" t="inlineStr">
        <is>
          <t>Retest Result</t>
        </is>
      </c>
      <c r="B12" s="7" t="inlineStr">
        <is>
          <t>Count</t>
        </is>
      </c>
      <c r="C12" s="7" t="n"/>
      <c r="D12" s="6" t="inlineStr">
        <is>
          <t>Open Defects</t>
        </is>
      </c>
      <c r="E12" s="7">
        <f>COUNTIFS('Defect Log'!N:N,"&lt;&gt;Closed",'Defect Log'!A:A,"&lt;&gt;")</f>
        <v/>
      </c>
    </row>
    <row r="13">
      <c r="A13" s="2" t="inlineStr">
        <is>
          <t>Not Retested</t>
        </is>
      </c>
      <c r="B13" s="2">
        <f>COUNTIF('Defect Log'!Q:Q,A13)</f>
        <v/>
      </c>
      <c r="C13" s="2" t="n"/>
      <c r="D13" s="4" t="inlineStr">
        <is>
          <t>Critical Defects</t>
        </is>
      </c>
      <c r="E13" s="2">
        <f>COUNTIF('Defect Log'!G:G,"Critical")</f>
        <v/>
      </c>
    </row>
    <row r="14">
      <c r="A14" s="2" t="inlineStr">
        <is>
          <t>Pass</t>
        </is>
      </c>
      <c r="B14" s="2">
        <f>COUNTIF('Defect Log'!Q:Q,A14)</f>
        <v/>
      </c>
      <c r="C14" s="2" t="n"/>
      <c r="D14" s="2" t="n"/>
      <c r="E14" s="2" t="n"/>
    </row>
    <row r="15">
      <c r="A15" s="2" t="inlineStr">
        <is>
          <t>Fail</t>
        </is>
      </c>
      <c r="B15" s="2">
        <f>COUNTIF('Defect Log'!Q:Q,A15)</f>
        <v/>
      </c>
      <c r="C15" s="2" t="n"/>
      <c r="D15" s="2" t="n"/>
      <c r="E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58" customWidth="1" min="3" max="3"/>
  </cols>
  <sheetData>
    <row r="1" ht="30" customHeight="1">
      <c r="A1" s="5" t="inlineStr">
        <is>
          <t>Stage</t>
        </is>
      </c>
      <c r="B1" s="5" t="inlineStr">
        <is>
          <t>Meaning</t>
        </is>
      </c>
      <c r="C1" s="5" t="inlineStr">
        <is>
          <t>Typical BA / Team Action</t>
        </is>
      </c>
    </row>
    <row r="2">
      <c r="A2" s="2" t="inlineStr">
        <is>
          <t>New</t>
        </is>
      </c>
      <c r="B2" s="2" t="inlineStr">
        <is>
          <t>Defect identified during testing.</t>
        </is>
      </c>
      <c r="C2" s="2" t="inlineStr">
        <is>
          <t>Log defect with evidence, severity, priority and traceability.</t>
        </is>
      </c>
    </row>
    <row r="3">
      <c r="A3" s="2" t="inlineStr">
        <is>
          <t>Assigned</t>
        </is>
      </c>
      <c r="B3" s="2" t="inlineStr">
        <is>
          <t>Owner identified.</t>
        </is>
      </c>
      <c r="C3" s="2" t="inlineStr">
        <is>
          <t>Assign to the responsible team and confirm impact.</t>
        </is>
      </c>
    </row>
    <row r="4">
      <c r="A4" s="2" t="inlineStr">
        <is>
          <t>In Progress</t>
        </is>
      </c>
      <c r="B4" s="2" t="inlineStr">
        <is>
          <t>Defect is being investigated/fixed.</t>
        </is>
      </c>
      <c r="C4" s="2" t="inlineStr">
        <is>
          <t>Analyze root cause and implement correction.</t>
        </is>
      </c>
    </row>
    <row r="5">
      <c r="A5" s="2" t="inlineStr">
        <is>
          <t>Fixed</t>
        </is>
      </c>
      <c r="B5" s="2" t="inlineStr">
        <is>
          <t>Development team reports correction complete.</t>
        </is>
      </c>
      <c r="C5" s="2" t="inlineStr">
        <is>
          <t>Prepare for tester/BA retest.</t>
        </is>
      </c>
    </row>
    <row r="6">
      <c r="A6" s="2" t="inlineStr">
        <is>
          <t>Retest</t>
        </is>
      </c>
      <c r="B6" s="2" t="inlineStr">
        <is>
          <t>Correction is being validated.</t>
        </is>
      </c>
      <c r="C6" s="2" t="inlineStr">
        <is>
          <t>Execute the original scenario and regression checks.</t>
        </is>
      </c>
    </row>
    <row r="7">
      <c r="A7" s="2" t="inlineStr">
        <is>
          <t>Closed</t>
        </is>
      </c>
      <c r="B7" s="2" t="inlineStr">
        <is>
          <t>Retest passed and evidence is accepted.</t>
        </is>
      </c>
      <c r="C7" s="2" t="inlineStr">
        <is>
          <t>Close defect and update traceability.</t>
        </is>
      </c>
    </row>
    <row r="8">
      <c r="A8" s="2" t="inlineStr">
        <is>
          <t>Reopened</t>
        </is>
      </c>
      <c r="B8" s="2" t="inlineStr">
        <is>
          <t>Retest failed or issue persists.</t>
        </is>
      </c>
      <c r="C8" s="2" t="inlineStr">
        <is>
          <t>Return to investigation/fix cycle.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58" customWidth="1" min="3" max="3"/>
  </cols>
  <sheetData>
    <row r="1" ht="30" customHeight="1">
      <c r="A1" s="8" t="inlineStr">
        <is>
          <t>Defect Log — Read Me</t>
        </is>
      </c>
      <c r="B1" s="9" t="n"/>
    </row>
    <row r="2" ht="48" customHeight="1">
      <c r="A2" s="2" t="inlineStr">
        <is>
          <t>Purpose</t>
        </is>
      </c>
      <c r="B2" s="2" t="inlineStr">
        <is>
          <t>Track UAT defects from discovery through resolution and retest.</t>
        </is>
      </c>
    </row>
    <row r="3" ht="48" customHeight="1">
      <c r="A3" s="2" t="inlineStr">
        <is>
          <t>Portfolio Context</t>
        </is>
      </c>
      <c r="B3" s="2" t="inlineStr">
        <is>
          <t>This is a simulated Business Analyst portfolio project for the fictional NovaCart e-commerce company.</t>
        </is>
      </c>
    </row>
    <row r="4" ht="48" customHeight="1">
      <c r="A4" s="2" t="inlineStr">
        <is>
          <t>Main Log</t>
        </is>
      </c>
      <c r="B4" s="2" t="inlineStr">
        <is>
          <t>The 'Defect Log' sheet is intentionally execution-ready and contains blank rows for actual UAT execution.</t>
        </is>
      </c>
    </row>
    <row r="5" ht="48" customHeight="1">
      <c r="A5" s="2" t="inlineStr">
        <is>
          <t>Sample Data</t>
        </is>
      </c>
      <c r="B5" s="2" t="inlineStr">
        <is>
          <t>The 'Sample Defects' sheet contains illustrative simulated examples only. They are not real production defects or employment results.</t>
        </is>
      </c>
    </row>
    <row r="6" ht="48" customHeight="1">
      <c r="A6" s="2" t="inlineStr">
        <is>
          <t>Severity</t>
        </is>
      </c>
      <c r="B6" s="2" t="inlineStr">
        <is>
          <t>Critical = security, major business risk, or release-blocking issue; High = major functional/business impact; Medium = moderate impact; Low = minor impact.</t>
        </is>
      </c>
    </row>
    <row r="7" ht="48" customHeight="1">
      <c r="A7" s="2" t="inlineStr">
        <is>
          <t>Priority</t>
        </is>
      </c>
      <c r="B7" s="2" t="inlineStr">
        <is>
          <t>Indicates urgency for resolution based on business/release impact.</t>
        </is>
      </c>
    </row>
    <row r="8" ht="48" customHeight="1">
      <c r="A8" s="2" t="inlineStr">
        <is>
          <t>Traceability</t>
        </is>
      </c>
      <c r="B8" s="2" t="inlineStr">
        <is>
          <t>Each defect can be linked back to a UAT test case, requirement and user story.</t>
        </is>
      </c>
    </row>
    <row r="9" ht="48" customHeight="1">
      <c r="A9" s="2" t="inlineStr">
        <is>
          <t>Lifecycle</t>
        </is>
      </c>
      <c r="B9" s="2" t="inlineStr">
        <is>
          <t>New → Assigned → In Progress → Fixed → Retest → Closed. Failed retests may move to Reopened.</t>
        </is>
      </c>
    </row>
    <row r="10" ht="48" customHeight="1">
      <c r="A10" s="2" t="inlineStr">
        <is>
          <t>BA Interview Point</t>
        </is>
      </c>
      <c r="B10" s="2" t="inlineStr">
        <is>
          <t>A BA uses the defect log to maintain traceability, prioritize business impact, coordinate resolution, support retesting, and ensure release readiness.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2026-10-14T06:54:12Z</dcterms:created>
  <dcterms:modified xmlns:dcterms="http://purl.org/dc/terms/" xmlns:xsi="http://www.w3.org/2001/XMLSchema-instance" xsi:type="dcterms:W3CDTF">2026-10-14T06:54:12Z</dcterms:modified>
</cp:coreProperties>
</file>